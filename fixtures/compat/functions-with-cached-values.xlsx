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ctions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<sst xmlns="http://schemas.openxmlformats.org/spreadsheetml/2006/main" count="3" uniqueCount="2">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</sst>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>
      <c r="A1">
        <v>1</v>
      </c>
      <c r="B1" t="s">
        <v>0</v>
      </c>
      <c r="J1">
        <f>SUM(A1:A3)</f>
        <v>6</v>
      </c>
    </row>
    <row r="2" spans="1:10">
      <c r="A2">
        <v>2</v>
      </c>
      <c r="B2" t="s">
        <v>1</v>
      </c>
      <c r="J2">
        <f>SUMIF(B1:B3,"x",A1:A3)</f>
        <v>4</v>
      </c>
    </row>
    <row r="3" spans="1:10">
      <c r="A3">
        <v>3</v>
      </c>
      <c r="B3" t="s">
        <v>0</v>
      </c>
      <c r="J3">
        <f>SUMIFS(A1:A3,B1:B3,"x")</f>
        <v>4</v>
      </c>
    </row>
    <row r="4" spans="1:10">
      <c r="J4">
        <f>PRODUCT(A1:A3)</f>
        <v>6</v>
      </c>
    </row>
    <row r="5" spans="1:10">
      <c r="J5">
        <f>ROUND(2.345,2)</f>
        <v>2.35</v>
      </c>
    </row>
    <row r="6" spans="1:10">
      <c r="J6">
        <f>ROUNDUP(2.341,2)</f>
        <v>2.35</v>
      </c>
    </row>
    <row r="7" spans="1:10">
      <c r="J7">
        <f>ROUNDDOWN(2.349,2)</f>
        <v>2.34</v>
      </c>
    </row>
    <row r="8" spans="1:10">
      <c r="J8">
        <f>ABS(-3)</f>
        <v>3</v>
      </c>
    </row>
    <row r="9" spans="1:10">
      <c r="J9">
        <f>MOD(7,3)</f>
        <v>1</v>
      </c>
    </row>
    <row r="10" spans="1:10">
      <c r="J10">
        <f>INT(-2.5)</f>
        <v>-3</v>
      </c>
    </row>
    <row r="11" spans="1:10">
      <c r="J11">
        <f>AVERAGE(A1:A3)</f>
        <v>2</v>
      </c>
    </row>
    <row r="12" spans="1:10">
      <c r="J12">
        <f>AVERAGEIF(B1:B3,"x",A1:A3)</f>
        <v>2</v>
      </c>
    </row>
    <row r="13" spans="1:10">
      <c r="J13">
        <f>AVERAGEIFS(A1:A3,B1:B3,"x")</f>
        <v>2</v>
      </c>
    </row>
    <row r="14" spans="1:10">
      <c r="J14">
        <f>MIN(A1:A3)</f>
        <v>1</v>
      </c>
    </row>
    <row r="15" spans="1:10">
      <c r="J15">
        <f>MAX(A1:A3)</f>
        <v>3</v>
      </c>
    </row>
    <row r="16" spans="1:10">
      <c r="J16">
        <f>COUNT(A1:B3)</f>
        <v>3</v>
      </c>
    </row>
    <row r="17" spans="10:10">
      <c r="J17">
        <f>COUNTA(A1:B3)</f>
        <v>6</v>
      </c>
    </row>
    <row r="18" spans="10:10">
      <c r="J18">
        <f>COUNTBLANK(C1:C3)</f>
        <v>3</v>
      </c>
    </row>
    <row r="19" spans="10:10">
      <c r="J19">
        <f>COUNTIF(B1:B3,"x")</f>
        <v>2</v>
      </c>
    </row>
    <row r="20" spans="10:10">
      <c r="J20">
        <f>COUNTIFS(B1:B3,"x",A1:A3,"&gt;1")</f>
        <v>1</v>
      </c>
    </row>
    <row r="21" spans="10:10">
      <c r="J21">
        <f>MEDIAN(A1:A3)</f>
        <v>2</v>
      </c>
    </row>
    <row r="22" spans="10:10">
      <c r="J22" t="str">
        <f>IF(1&gt;0,"y","n")</f>
        <v>y</v>
      </c>
    </row>
    <row r="23" spans="10:10">
      <c r="J23" t="str">
        <f>_xlfn.IFS(1&gt;2,"a",TRUE,"b")</f>
        <v>b</v>
      </c>
    </row>
    <row r="24" spans="10:10">
      <c r="J24" t="b">
        <f>AND(TRUE,FALSE)</f>
        <v>0</v>
      </c>
    </row>
    <row r="25" spans="10:10">
      <c r="J25" t="b">
        <f>OR(TRUE,FALSE)</f>
        <v>1</v>
      </c>
    </row>
    <row r="26" spans="10:10">
      <c r="J26" t="b">
        <f>NOT(FALSE)</f>
        <v>1</v>
      </c>
    </row>
    <row r="27" spans="10:10">
      <c r="J27" t="str">
        <f>IFERROR(1/0,"e")</f>
        <v>e</v>
      </c>
    </row>
    <row r="28" spans="10:10">
      <c r="J28" t="str">
        <f>_xlfn.IFNA(NA(),"n")</f>
        <v>n</v>
      </c>
    </row>
    <row r="29" spans="10:10">
      <c r="J29" t="str">
        <f>VLOOKUP(2,A1:B3,2,FALSE)</f>
        <v>y</v>
      </c>
    </row>
    <row r="30" spans="10:10">
      <c r="J30">
        <f>HLOOKUP(1,A1:A3,2,FALSE)</f>
        <v>2</v>
      </c>
    </row>
    <row r="31" spans="10:10">
      <c r="J31" cm="1">
        <f t="array" ref="J31">_xlfn.XLOOKUP("y",B1:B3,A1:A3)</f>
        <v>2</v>
      </c>
    </row>
    <row r="32" spans="10:10">
      <c r="J32">
        <f>INDEX(A1:A3,2)</f>
        <v>2</v>
      </c>
    </row>
    <row r="33" spans="10:10">
      <c r="J33">
        <f>MATCH(3,A1:A3,0)</f>
        <v>3</v>
      </c>
    </row>
    <row r="34" spans="10:10">
      <c r="J34" t="str">
        <f>_xlfn.CONCAT("a","b")</f>
        <v>ab</v>
      </c>
    </row>
    <row r="35" spans="10:10">
      <c r="J35" t="str">
        <f>CONCATENATE("a","b")</f>
        <v>ab</v>
      </c>
    </row>
    <row r="36" spans="10:10">
      <c r="J36" t="str">
        <f>_xlfn.TEXTJOIN("-",TRUE,"a","b")</f>
        <v>a-b</v>
      </c>
    </row>
    <row r="37" spans="10:10">
      <c r="J37" t="str">
        <f>LEFT("hello",2)</f>
        <v>he</v>
      </c>
    </row>
    <row r="38" spans="10:10">
      <c r="J38" t="str">
        <f>RIGHT("hello",2)</f>
        <v>lo</v>
      </c>
    </row>
    <row r="39" spans="10:10">
      <c r="J39" t="str">
        <f>MID("hello",2,3)</f>
        <v>ell</v>
      </c>
    </row>
    <row r="40" spans="10:10">
      <c r="J40">
        <f>LEN("hello")</f>
        <v>5</v>
      </c>
    </row>
    <row r="41" spans="10:10">
      <c r="J41" t="str">
        <f>TRIM("  a  b ")</f>
        <v>a b</v>
      </c>
    </row>
    <row r="42" spans="10:10">
      <c r="J42" t="str">
        <f>UPPER("ab")</f>
        <v>AB</v>
      </c>
    </row>
    <row r="43" spans="10:10">
      <c r="J43" t="str">
        <f>LOWER("AB")</f>
        <v>ab</v>
      </c>
    </row>
    <row r="44" spans="10:10">
      <c r="J44" t="str">
        <f>PROPER("hello world")</f>
        <v>Hello World</v>
      </c>
    </row>
    <row r="45" spans="10:10">
      <c r="J45" t="str">
        <f>SUBSTITUTE("a-b","-","+")</f>
        <v>a+b</v>
      </c>
    </row>
    <row r="46" spans="10:10">
      <c r="J46">
        <f>FIND("l","hello")</f>
        <v>3</v>
      </c>
    </row>
    <row r="47" spans="10:10">
      <c r="J47">
        <f>SEARCH("L","hello")</f>
        <v>3</v>
      </c>
    </row>
    <row r="48" spans="10:10">
      <c r="J48" t="str">
        <f>TEXT(0.5,"0%")</f>
        <v>50%</v>
      </c>
    </row>
    <row r="49" spans="10:10">
      <c r="J49">
        <f>VALUE("12")</f>
        <v>12</v>
      </c>
    </row>
    <row r="52" spans="10:10">
      <c r="J52">
        <f>DATE(2024,1,31)</f>
        <v>45322</v>
      </c>
    </row>
    <row r="53" spans="10:10">
      <c r="J53">
        <f>YEAR(45322)</f>
        <v>2024</v>
      </c>
    </row>
    <row r="54" spans="10:10">
      <c r="J54">
        <f>MONTH(45322)</f>
        <v>1</v>
      </c>
    </row>
    <row r="55" spans="10:10">
      <c r="J55">
        <f>DAY(45322)</f>
        <v>31</v>
      </c>
    </row>
    <row r="56" spans="10:10">
      <c r="J56">
        <f>WEEKDAY(45322)</f>
        <v>4</v>
      </c>
    </row>
    <row r="57" spans="10:10">
      <c r="J57">
        <f>EDATE(45322,1)</f>
        <v>45351</v>
      </c>
    </row>
    <row r="58" spans="10:10">
      <c r="J58">
        <f>EOMONTH(45322,1)</f>
        <v>45351</v>
      </c>
    </row>
    <row r="59" spans="10:10">
      <c r="J59">
        <f>DATEDIF(DATE(2024,1,1),DATE(2024,3,1),"m")</f>
        <v>2</v>
      </c>
    </row>
    <row r="60" spans="10:10">
      <c r="J60">
        <f>NETWORKDAYS(DATE(2024,1,1),DATE(2024,1,31))</f>
        <v>23</v>
      </c>
    </row>
    <row r="61" spans="10:10">
      <c r="J61" t="b">
        <f>ISBLANK(C1)</f>
        <v>1</v>
      </c>
    </row>
    <row r="62" spans="10:10">
      <c r="J62" t="b">
        <f>ISNUMBER(A1)</f>
        <v>1</v>
      </c>
    </row>
    <row r="63" spans="10:10">
      <c r="J63" t="b">
        <f>ISTEXT(B1)</f>
        <v>1</v>
      </c>
    </row>
    <row r="64" spans="10:10">
      <c r="J64" t="b">
        <f>ISERROR(1/0)</f>
        <v>1</v>
      </c>
    </row>
    <row r="65" spans="10:10">
      <c r="J65">
        <f>1+2*3-4/2</f>
        <v>5</v>
      </c>
    </row>
    <row r="66" spans="10:10">
      <c r="J66">
        <f>2^3</f>
        <v>8</v>
      </c>
    </row>
    <row r="67" spans="10:10">
      <c r="J67" t="b">
        <f>1&lt;2</f>
        <v>1</v>
      </c>
    </row>
    <row r="68" spans="10:10">
      <c r="J68" t="str">
        <f>"a"&amp;"b"</f>
        <v>ab</v>
      </c>
    </row>
    <row r="69" spans="10:10">
      <c r="J69">
        <f>$A$1+A2</f>
        <v>3</v>
      </c>
    </row>
    <row r="70" spans="10:10">
      <c r="J70" t="e">
        <f>1/0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